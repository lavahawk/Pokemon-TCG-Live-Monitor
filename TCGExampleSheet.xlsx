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165" windowWidth="32790" windowHeight="15120" tabRatio="600" firstSheet="0" activeTab="0" autoFilterDateGrouping="1"/>
  </bookViews>
  <sheets>
    <sheet xmlns:r="http://schemas.openxmlformats.org/officeDocument/2006/relationships" name="Limitless Meta" sheetId="1" state="visible" r:id="rId1"/>
    <sheet xmlns:r="http://schemas.openxmlformats.org/officeDocument/2006/relationships" name="TCG Online Data" sheetId="2" state="visible" r:id="rId2"/>
    <sheet xmlns:r="http://schemas.openxmlformats.org/officeDocument/2006/relationships" name="ExampleDeck" sheetId="3" state="visible" r:id="rId3"/>
    <sheet xmlns:r="http://schemas.openxmlformats.org/officeDocument/2006/relationships" name="Sheet" sheetId="4" state="visible" r:id="rId4"/>
    <sheet xmlns:r="http://schemas.openxmlformats.org/officeDocument/2006/relationships" name="Gholdengo Dragapul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</borders>
  <cellStyleXfs count="2">
    <xf numFmtId="0" fontId="1" fillId="0" borderId="0"/>
    <xf numFmtId="9" fontId="1" fillId="0" borderId="0"/>
  </cellStyleXfs>
  <cellXfs count="31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2" borderId="3" pivotButton="0" quotePrefix="0" xfId="0"/>
    <xf numFmtId="0" fontId="0" fillId="2" borderId="5" pivotButton="0" quotePrefix="0" xfId="0"/>
    <xf numFmtId="0" fontId="0" fillId="0" borderId="13" pivotButton="0" quotePrefix="0" xfId="0"/>
    <xf numFmtId="0" fontId="0" fillId="2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9" fontId="0" fillId="0" borderId="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9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0" pivotButton="0" quotePrefix="0" xfId="0"/>
    <xf numFmtId="0" fontId="0" fillId="0" borderId="8" applyAlignment="1" pivotButton="0" quotePrefix="0" xfId="0">
      <alignment horizontal="center"/>
    </xf>
    <xf numFmtId="0" fontId="0" fillId="0" borderId="9" pivotButton="0" quotePrefix="0" xfId="0"/>
    <xf numFmtId="164" fontId="0" fillId="0" borderId="14" applyAlignment="1" pivotButton="0" quotePrefix="0" xfId="1">
      <alignment horizontal="center"/>
    </xf>
    <xf numFmtId="0" fontId="0" fillId="0" borderId="7" pivotButton="0" quotePrefix="0" xfId="0"/>
    <xf numFmtId="0" fontId="0" fillId="0" borderId="15" applyAlignment="1" pivotButton="0" quotePrefix="0" xfId="0">
      <alignment horizontal="center"/>
    </xf>
    <xf numFmtId="0" fontId="0" fillId="0" borderId="11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4"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  <a:endParaRPr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02459012837884095"/>
          <y val="0.09077404348846636"/>
          <w val="0.93316899638009"/>
          <h val="0.6333153233894544"/>
        </manualLayout>
      </layout>
      <barChart>
        <barDir val="col"/>
        <grouping val="clustered"/>
        <varyColors val="0"/>
        <ser>
          <idx val="0"/>
          <order val="0"/>
          <tx>
            <v>Total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Lit>
              <ptCount val="71"/>
              <pt idx="0">
                <v>Tera Box</v>
              </pt>
              <pt idx="1">
                <v>Dragapult Dusknoir</v>
              </pt>
              <pt idx="2">
                <v>Raging Bolt Ogerpon</v>
              </pt>
              <pt idx="3">
                <v>Hop's Zacian</v>
              </pt>
              <pt idx="4">
                <v>N's Zoroark</v>
              </pt>
              <pt idx="5">
                <v>Gholdengo</v>
              </pt>
              <pt idx="6">
                <v>Other</v>
              </pt>
              <pt idx="7">
                <v>Gardevoir</v>
              </pt>
              <pt idx="8">
                <v>Poison Archaludon</v>
              </pt>
              <pt idx="9">
                <v>Terapagos Noctowl</v>
              </pt>
              <pt idx="10">
                <v>Archaludon</v>
              </pt>
              <pt idx="11">
                <v>Charizard Pidgeot</v>
              </pt>
              <pt idx="12">
                <v>Mamoswine</v>
              </pt>
              <pt idx="13">
                <v>Feraligatr</v>
              </pt>
              <pt idx="14">
                <v>Gholdengo Dragapult</v>
              </pt>
              <pt idx="15">
                <v>Flareon Noctowl</v>
              </pt>
              <pt idx="16">
                <v>Roaring Moon</v>
              </pt>
              <pt idx="17">
                <v>Future Hands</v>
              </pt>
              <pt idx="18">
                <v>Charizard Noctowl</v>
              </pt>
              <pt idx="19">
                <v>Slowking</v>
              </pt>
              <pt idx="20">
                <v>Hydreigon</v>
              </pt>
              <pt idx="21">
                <v>Milotic</v>
              </pt>
              <pt idx="22">
                <v>Pidgeot Control</v>
              </pt>
              <pt idx="23">
                <v>Dragapult Charizard</v>
              </pt>
              <pt idx="24">
                <v>Dragapult</v>
              </pt>
              <pt idx="25">
                <v>Dragapult Iron Thorns</v>
              </pt>
              <pt idx="26">
                <v>Blissey</v>
              </pt>
              <pt idx="27">
                <v>Ceruledge</v>
              </pt>
              <pt idx="28">
                <v>Froslass Munkidori</v>
              </pt>
              <pt idx="29">
                <v>Mimikyu Ogerpon</v>
              </pt>
              <pt idx="30">
                <v>Iono's Bellibolt</v>
              </pt>
              <pt idx="31">
                <v>Miraidon</v>
              </pt>
              <pt idx="32">
                <v>Raging Bolt</v>
              </pt>
              <pt idx="33">
                <v>Charizard</v>
              </pt>
              <pt idx="34">
                <v>Okidogi</v>
              </pt>
              <pt idx="35">
                <v>Ancient Box</v>
              </pt>
              <pt idx="36">
                <v>Chien-Pao Baxcalibur</v>
              </pt>
              <pt idx="37">
                <v>Palafin</v>
              </pt>
              <pt idx="38">
                <v>Iron Thorns</v>
              </pt>
              <pt idx="39">
                <v>Dragapult Pidgeot</v>
              </pt>
              <pt idx="40">
                <v>Dipplin</v>
              </pt>
              <pt idx="41">
                <v>Alakazam</v>
              </pt>
              <pt idx="42">
                <v>Azumarill</v>
              </pt>
              <pt idx="43">
                <v>Tinkaton</v>
              </pt>
              <pt idx="44">
                <v>Conkeldurr</v>
              </pt>
              <pt idx="45">
                <v>Sinistcha Ogerpon</v>
              </pt>
              <pt idx="46">
                <v>Banette</v>
              </pt>
              <pt idx="47">
                <v>United Wings</v>
              </pt>
              <pt idx="48">
                <v>Hydrapple Ogerpon</v>
              </pt>
              <pt idx="49">
                <v>Toedscruel</v>
              </pt>
              <pt idx="50">
                <v>Flygon</v>
              </pt>
              <pt idx="51">
                <v>Roaring Moon Dudunsparce</v>
              </pt>
              <pt idx="52">
                <v>Ogerpon</v>
              </pt>
              <pt idx="53">
                <v>Greninja</v>
              </pt>
              <pt idx="54">
                <v>Aegislash</v>
              </pt>
              <pt idx="55">
                <v>Meowscarada</v>
              </pt>
              <pt idx="56">
                <v>Alolan Exeggutor ex</v>
              </pt>
              <pt idx="57">
                <v>Future Box</v>
              </pt>
              <pt idx="58">
                <v>Clefable</v>
              </pt>
              <pt idx="59">
                <v>Espathra Xatu</v>
              </pt>
              <pt idx="60">
                <v>Slaking</v>
              </pt>
              <pt idx="61">
                <v>Gengar</v>
              </pt>
              <pt idx="62">
                <v>Great Tusk Mill</v>
              </pt>
              <pt idx="63">
                <v>Archaludon Dialga</v>
              </pt>
              <pt idx="64">
                <v>Cornerstone Mask Ogerpon</v>
              </pt>
              <pt idx="65">
                <v>Gouging Fire</v>
              </pt>
              <pt idx="66">
                <v>Tsareena</v>
              </pt>
              <pt idx="67">
                <v>Garchomp</v>
              </pt>
              <pt idx="68">
                <v>Galvantula</v>
              </pt>
              <pt idx="69">
                <v>Poison Terapagos</v>
              </pt>
              <pt idx="70">
                <v>Incineroar</v>
              </pt>
            </strLit>
          </cat>
          <val>
            <numLit>
              <formatCode>General</formatCode>
              <ptCount val="71"/>
              <pt idx="0">
                <v>0.1219</v>
              </pt>
              <pt idx="1">
                <v>0.089</v>
              </pt>
              <pt idx="2">
                <v>0.07000000000000001</v>
              </pt>
              <pt idx="3">
                <v>0.0682</v>
              </pt>
              <pt idx="4">
                <v>0.0576</v>
              </pt>
              <pt idx="5">
                <v>0.0511</v>
              </pt>
              <pt idx="6">
                <v>0.0489</v>
              </pt>
              <pt idx="7">
                <v>0.0478</v>
              </pt>
              <pt idx="8">
                <v>0.0405</v>
              </pt>
              <pt idx="9">
                <v>0.0347</v>
              </pt>
              <pt idx="10">
                <v>0.0248</v>
              </pt>
              <pt idx="11">
                <v>0.0233</v>
              </pt>
              <pt idx="12">
                <v>0.0233</v>
              </pt>
              <pt idx="13">
                <v>0.0223</v>
              </pt>
              <pt idx="14">
                <v>0.0219</v>
              </pt>
              <pt idx="15">
                <v>0.0215</v>
              </pt>
              <pt idx="16">
                <v>0.0193</v>
              </pt>
              <pt idx="17">
                <v>0.019</v>
              </pt>
              <pt idx="18">
                <v>0.0146</v>
              </pt>
              <pt idx="19">
                <v>0.0128</v>
              </pt>
              <pt idx="20">
                <v>0.0113</v>
              </pt>
              <pt idx="21">
                <v>0.0113</v>
              </pt>
              <pt idx="22">
                <v>0.0102</v>
              </pt>
              <pt idx="23">
                <v>0.0102</v>
              </pt>
              <pt idx="24">
                <v>0.009900000000000001</v>
              </pt>
              <pt idx="25">
                <v>0.009900000000000001</v>
              </pt>
              <pt idx="26">
                <v>0.0095</v>
              </pt>
              <pt idx="27">
                <v>0.008</v>
              </pt>
              <pt idx="28">
                <v>0.0077</v>
              </pt>
              <pt idx="29">
                <v>0.0066</v>
              </pt>
              <pt idx="30">
                <v>0.0062</v>
              </pt>
              <pt idx="31">
                <v>0.0062</v>
              </pt>
              <pt idx="32">
                <v>0.0058</v>
              </pt>
              <pt idx="33">
                <v>0.0055</v>
              </pt>
              <pt idx="34">
                <v>0.004</v>
              </pt>
              <pt idx="35">
                <v>0.004</v>
              </pt>
              <pt idx="36">
                <v>0.0036</v>
              </pt>
              <pt idx="37">
                <v>0.0029</v>
              </pt>
              <pt idx="38">
                <v>0.0029</v>
              </pt>
              <pt idx="39">
                <v>0.0026</v>
              </pt>
              <pt idx="40">
                <v>0.0022</v>
              </pt>
              <pt idx="41">
                <v>0.0022</v>
              </pt>
              <pt idx="42">
                <v>0.0022</v>
              </pt>
              <pt idx="43">
                <v>0.0018</v>
              </pt>
              <pt idx="44">
                <v>0.0018</v>
              </pt>
              <pt idx="45">
                <v>0.0015</v>
              </pt>
              <pt idx="46">
                <v>0.0015</v>
              </pt>
              <pt idx="47">
                <v>0.0011</v>
              </pt>
              <pt idx="48">
                <v>0.0011</v>
              </pt>
              <pt idx="49">
                <v>0.0011</v>
              </pt>
              <pt idx="50">
                <v>0.0011</v>
              </pt>
              <pt idx="51">
                <v>0.0011</v>
              </pt>
              <pt idx="52">
                <v>0.0011</v>
              </pt>
              <pt idx="53">
                <v>0.0011</v>
              </pt>
              <pt idx="54">
                <v>0.0007</v>
              </pt>
              <pt idx="55">
                <v>0.0007</v>
              </pt>
              <pt idx="56">
                <v>0.0007</v>
              </pt>
              <pt idx="57">
                <v>0.0007</v>
              </pt>
              <pt idx="58">
                <v>0.0007</v>
              </pt>
              <pt idx="59">
                <v>0.0007</v>
              </pt>
              <pt idx="60">
                <v>0.0004</v>
              </pt>
              <pt idx="61">
                <v>0.0004</v>
              </pt>
              <pt idx="62">
                <v>0.0004</v>
              </pt>
              <pt idx="63">
                <v>0.0004</v>
              </pt>
              <pt idx="64">
                <v>0.0004</v>
              </pt>
              <pt idx="65">
                <v>0.0004</v>
              </pt>
              <pt idx="66">
                <v>0.0004</v>
              </pt>
              <pt idx="67">
                <v>0.0004</v>
              </pt>
              <pt idx="68">
                <v>0.0004</v>
              </pt>
              <pt idx="69">
                <v>0.0004</v>
              </pt>
              <pt idx="70">
                <v>0.0004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687735584"/>
        <axId val="687737024"/>
      </barChart>
      <catAx>
        <axId val="6877355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87737024"/>
        <crosses val="autoZero"/>
        <auto val="1"/>
        <lblAlgn val="ctr"/>
        <lblOffset val="100"/>
        <noMultiLvlLbl val="0"/>
      </catAx>
      <valAx>
        <axId val="68773702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877355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171450</colOff>
      <row>0</row>
      <rowOff>104775</rowOff>
    </from>
    <to>
      <col>26</col>
      <colOff>228599</colOff>
      <row>31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F24" sqref="F24"/>
    </sheetView>
  </sheetViews>
  <sheetFormatPr baseColWidth="8" defaultRowHeight="15"/>
  <cols>
    <col width="11.140625" bestFit="1" customWidth="1" style="29" min="1" max="1"/>
    <col width="25.85546875" bestFit="1" customWidth="1" style="29" min="2" max="2"/>
    <col width="8.5703125" bestFit="1" customWidth="1" style="29" min="3" max="3"/>
    <col width="8.28515625" bestFit="1" customWidth="1" style="29" min="4" max="4"/>
    <col width="7.85546875" bestFit="1" customWidth="1" style="29" min="5" max="5"/>
    <col width="9" bestFit="1" customWidth="1" style="29" min="6" max="6"/>
    <col width="6.85546875" bestFit="1" customWidth="1" style="29" min="7" max="7"/>
    <col width="9" bestFit="1" customWidth="1" style="29" min="8" max="8"/>
    <col width="80.85546875" customWidth="1" style="29" min="12" max="12"/>
  </cols>
  <sheetData>
    <row r="1">
      <c r="A1" t="inlineStr">
        <is>
          <t>Popularity</t>
        </is>
      </c>
      <c r="B1" t="inlineStr">
        <is>
          <t>Deck</t>
        </is>
      </c>
      <c r="C1" t="inlineStr">
        <is>
          <t>Count</t>
        </is>
      </c>
      <c r="D1" t="inlineStr">
        <is>
          <t>Share</t>
        </is>
      </c>
      <c r="E1" t="inlineStr">
        <is>
          <t>Wins</t>
        </is>
      </c>
      <c r="F1" t="inlineStr">
        <is>
          <t>Losses</t>
        </is>
      </c>
      <c r="G1" t="inlineStr">
        <is>
          <t>Ties</t>
        </is>
      </c>
      <c r="H1" t="inlineStr">
        <is>
          <t>Win %</t>
        </is>
      </c>
    </row>
    <row r="2">
      <c r="A2" t="n">
        <v>1</v>
      </c>
      <c r="B2" t="inlineStr">
        <is>
          <t>Tera Box</t>
        </is>
      </c>
      <c r="C2" t="n">
        <v>334</v>
      </c>
      <c r="D2" t="n">
        <v>0.1219</v>
      </c>
      <c r="E2" t="n">
        <v>773</v>
      </c>
      <c r="F2" t="n">
        <v>747</v>
      </c>
      <c r="G2" t="n">
        <v>18</v>
      </c>
      <c r="H2" t="n">
        <v>0.5026</v>
      </c>
    </row>
    <row r="3">
      <c r="A3" t="n">
        <v>2</v>
      </c>
      <c r="B3" t="inlineStr">
        <is>
          <t>Dragapult Dusknoir</t>
        </is>
      </c>
      <c r="C3" t="n">
        <v>244</v>
      </c>
      <c r="D3" t="n">
        <v>0.089</v>
      </c>
      <c r="E3" t="n">
        <v>547</v>
      </c>
      <c r="F3" t="n">
        <v>595</v>
      </c>
      <c r="G3" t="n">
        <v>14</v>
      </c>
      <c r="H3" t="n">
        <v>0.4732</v>
      </c>
      <c r="L3" t="inlineStr">
        <is>
          <t>Data &gt; Add data Connection &gt; https://play.limitlesstcg.com/decks &gt; remove empty col. &gt; settings remove out of range stuff and background refresh, ensure you backup before doing this</t>
        </is>
      </c>
    </row>
    <row r="4">
      <c r="A4" t="n">
        <v>3</v>
      </c>
      <c r="B4" t="inlineStr">
        <is>
          <t>Raging Bolt Ogerpon</t>
        </is>
      </c>
      <c r="C4" t="n">
        <v>192</v>
      </c>
      <c r="D4" t="n">
        <v>0.07000000000000001</v>
      </c>
      <c r="E4" t="n">
        <v>481</v>
      </c>
      <c r="F4" t="n">
        <v>437</v>
      </c>
      <c r="G4" t="n">
        <v>9</v>
      </c>
      <c r="H4" t="n">
        <v>0.5189</v>
      </c>
    </row>
    <row r="5">
      <c r="A5" t="n">
        <v>4</v>
      </c>
      <c r="B5" t="inlineStr">
        <is>
          <t>Hop's Zacian</t>
        </is>
      </c>
      <c r="C5" t="n">
        <v>187</v>
      </c>
      <c r="D5" t="n">
        <v>0.0682</v>
      </c>
      <c r="E5" t="n">
        <v>382</v>
      </c>
      <c r="F5" t="n">
        <v>397</v>
      </c>
      <c r="G5" t="n">
        <v>7</v>
      </c>
      <c r="H5" t="n">
        <v>0.486</v>
      </c>
    </row>
    <row r="6">
      <c r="A6" t="n">
        <v>5</v>
      </c>
      <c r="B6" t="inlineStr">
        <is>
          <t>N's Zoroark</t>
        </is>
      </c>
      <c r="C6" t="n">
        <v>158</v>
      </c>
      <c r="D6" t="n">
        <v>0.0576</v>
      </c>
      <c r="E6" t="n">
        <v>300</v>
      </c>
      <c r="F6" t="n">
        <v>328</v>
      </c>
      <c r="G6" t="n">
        <v>10</v>
      </c>
      <c r="H6" t="n">
        <v>0.4702</v>
      </c>
    </row>
    <row r="7">
      <c r="A7" t="n">
        <v>6</v>
      </c>
      <c r="B7" t="inlineStr">
        <is>
          <t>Gholdengo</t>
        </is>
      </c>
      <c r="C7" t="n">
        <v>140</v>
      </c>
      <c r="D7" t="n">
        <v>0.0511</v>
      </c>
      <c r="E7" t="n">
        <v>399</v>
      </c>
      <c r="F7" t="n">
        <v>302</v>
      </c>
      <c r="G7" t="n">
        <v>11</v>
      </c>
      <c r="H7" t="n">
        <v>0.5604</v>
      </c>
    </row>
    <row r="8">
      <c r="A8" t="n">
        <v>7</v>
      </c>
      <c r="B8" t="inlineStr">
        <is>
          <t>Other</t>
        </is>
      </c>
      <c r="C8" t="n">
        <v>134</v>
      </c>
      <c r="D8" t="n">
        <v>0.0489</v>
      </c>
      <c r="E8" t="n">
        <v>259</v>
      </c>
      <c r="F8" t="n">
        <v>323</v>
      </c>
      <c r="G8" t="n">
        <v>16</v>
      </c>
      <c r="H8" t="n">
        <v>0.4331</v>
      </c>
    </row>
    <row r="9">
      <c r="A9" t="n">
        <v>8</v>
      </c>
      <c r="B9" t="inlineStr">
        <is>
          <t>Gardevoir</t>
        </is>
      </c>
      <c r="C9" t="n">
        <v>131</v>
      </c>
      <c r="D9" t="n">
        <v>0.0478</v>
      </c>
      <c r="E9" t="n">
        <v>301</v>
      </c>
      <c r="F9" t="n">
        <v>287</v>
      </c>
      <c r="G9" t="n">
        <v>10</v>
      </c>
      <c r="H9" t="n">
        <v>0.5033</v>
      </c>
    </row>
    <row r="10">
      <c r="A10" t="n">
        <v>9</v>
      </c>
      <c r="B10" t="inlineStr">
        <is>
          <t>Poison Archaludon</t>
        </is>
      </c>
      <c r="C10" t="n">
        <v>111</v>
      </c>
      <c r="D10" t="n">
        <v>0.0405</v>
      </c>
      <c r="E10" t="n">
        <v>340</v>
      </c>
      <c r="F10" t="n">
        <v>229</v>
      </c>
      <c r="G10" t="n">
        <v>13</v>
      </c>
      <c r="H10" t="n">
        <v>0.5842000000000001</v>
      </c>
    </row>
    <row r="11">
      <c r="A11" t="n">
        <v>10</v>
      </c>
      <c r="B11" t="inlineStr">
        <is>
          <t>Terapagos Noctowl</t>
        </is>
      </c>
      <c r="C11" t="n">
        <v>95</v>
      </c>
      <c r="D11" t="n">
        <v>0.0347</v>
      </c>
      <c r="E11" t="n">
        <v>283</v>
      </c>
      <c r="F11" t="n">
        <v>179</v>
      </c>
      <c r="G11" t="n">
        <v>11</v>
      </c>
      <c r="H11" t="n">
        <v>0.5983000000000001</v>
      </c>
    </row>
    <row r="12">
      <c r="A12" t="n">
        <v>11</v>
      </c>
      <c r="B12" t="inlineStr">
        <is>
          <t>Archaludon</t>
        </is>
      </c>
      <c r="C12" t="n">
        <v>68</v>
      </c>
      <c r="D12" t="n">
        <v>0.0248</v>
      </c>
      <c r="E12" t="n">
        <v>176</v>
      </c>
      <c r="F12" t="n">
        <v>141</v>
      </c>
      <c r="G12" t="n">
        <v>2</v>
      </c>
      <c r="H12" t="n">
        <v>0.5517</v>
      </c>
    </row>
    <row r="13">
      <c r="A13" t="n">
        <v>12</v>
      </c>
      <c r="B13" t="inlineStr">
        <is>
          <t>Charizard Pidgeot</t>
        </is>
      </c>
      <c r="C13" t="n">
        <v>64</v>
      </c>
      <c r="D13" t="n">
        <v>0.0233</v>
      </c>
      <c r="E13" t="n">
        <v>123</v>
      </c>
      <c r="F13" t="n">
        <v>155</v>
      </c>
      <c r="G13" t="n">
        <v>2</v>
      </c>
      <c r="H13" t="n">
        <v>0.4393</v>
      </c>
    </row>
    <row r="14">
      <c r="A14" t="n">
        <v>13</v>
      </c>
      <c r="B14" t="inlineStr">
        <is>
          <t>Mamoswine</t>
        </is>
      </c>
      <c r="C14" t="n">
        <v>64</v>
      </c>
      <c r="D14" t="n">
        <v>0.0233</v>
      </c>
      <c r="E14" t="n">
        <v>107</v>
      </c>
      <c r="F14" t="n">
        <v>163</v>
      </c>
      <c r="G14" t="n">
        <v>2</v>
      </c>
      <c r="H14" t="n">
        <v>0.3934</v>
      </c>
    </row>
    <row r="15">
      <c r="A15" t="n">
        <v>14</v>
      </c>
      <c r="B15" t="inlineStr">
        <is>
          <t>Feraligatr</t>
        </is>
      </c>
      <c r="C15" t="n">
        <v>61</v>
      </c>
      <c r="D15" t="n">
        <v>0.0223</v>
      </c>
      <c r="E15" t="n">
        <v>122</v>
      </c>
      <c r="F15" t="n">
        <v>139</v>
      </c>
      <c r="G15" t="n">
        <v>6</v>
      </c>
      <c r="H15" t="n">
        <v>0.4569</v>
      </c>
    </row>
    <row r="16">
      <c r="A16" t="n">
        <v>15</v>
      </c>
      <c r="B16" t="inlineStr">
        <is>
          <t>Gholdengo Dragapult</t>
        </is>
      </c>
      <c r="C16" t="n">
        <v>60</v>
      </c>
      <c r="D16" t="n">
        <v>0.0219</v>
      </c>
      <c r="E16" t="n">
        <v>150</v>
      </c>
      <c r="F16" t="n">
        <v>144</v>
      </c>
      <c r="G16" t="n">
        <v>4</v>
      </c>
      <c r="H16" t="n">
        <v>0.5034</v>
      </c>
    </row>
    <row r="17">
      <c r="A17" t="n">
        <v>16</v>
      </c>
      <c r="B17" t="inlineStr">
        <is>
          <t>Flareon Noctowl</t>
        </is>
      </c>
      <c r="C17" t="n">
        <v>59</v>
      </c>
      <c r="D17" t="n">
        <v>0.0215</v>
      </c>
      <c r="E17" t="n">
        <v>104</v>
      </c>
      <c r="F17" t="n">
        <v>127</v>
      </c>
      <c r="G17" t="n">
        <v>4</v>
      </c>
      <c r="H17" t="n">
        <v>0.4426</v>
      </c>
    </row>
    <row r="18">
      <c r="A18" t="n">
        <v>17</v>
      </c>
      <c r="B18" t="inlineStr">
        <is>
          <t>Roaring Moon</t>
        </is>
      </c>
      <c r="C18" t="n">
        <v>53</v>
      </c>
      <c r="D18" t="n">
        <v>0.0193</v>
      </c>
      <c r="E18" t="n">
        <v>125</v>
      </c>
      <c r="F18" t="n">
        <v>124</v>
      </c>
      <c r="G18" t="n">
        <v>3</v>
      </c>
      <c r="H18" t="n">
        <v>0.496</v>
      </c>
    </row>
    <row r="19">
      <c r="A19" t="n">
        <v>18</v>
      </c>
      <c r="B19" t="inlineStr">
        <is>
          <t>Future Hands</t>
        </is>
      </c>
      <c r="C19" t="n">
        <v>52</v>
      </c>
      <c r="D19" t="n">
        <v>0.019</v>
      </c>
      <c r="E19" t="n">
        <v>118</v>
      </c>
      <c r="F19" t="n">
        <v>117</v>
      </c>
      <c r="G19" t="n">
        <v>2</v>
      </c>
      <c r="H19" t="n">
        <v>0.4979</v>
      </c>
    </row>
    <row r="20">
      <c r="A20" t="n">
        <v>19</v>
      </c>
      <c r="B20" t="inlineStr">
        <is>
          <t>Charizard Noctowl</t>
        </is>
      </c>
      <c r="C20" t="n">
        <v>40</v>
      </c>
      <c r="D20" t="n">
        <v>0.0146</v>
      </c>
      <c r="E20" t="n">
        <v>74</v>
      </c>
      <c r="F20" t="n">
        <v>98</v>
      </c>
      <c r="G20" t="n">
        <v>0</v>
      </c>
      <c r="H20" t="n">
        <v>0.4302</v>
      </c>
    </row>
    <row r="21">
      <c r="A21" t="n">
        <v>20</v>
      </c>
      <c r="B21" t="inlineStr">
        <is>
          <t>Slowking</t>
        </is>
      </c>
      <c r="C21" t="n">
        <v>35</v>
      </c>
      <c r="D21" t="n">
        <v>0.0128</v>
      </c>
      <c r="E21" t="n">
        <v>71</v>
      </c>
      <c r="F21" t="n">
        <v>84</v>
      </c>
      <c r="G21" t="n">
        <v>4</v>
      </c>
      <c r="H21" t="n">
        <v>0.4465</v>
      </c>
    </row>
    <row r="22">
      <c r="A22" t="n">
        <v>21</v>
      </c>
      <c r="B22" t="inlineStr">
        <is>
          <t>Milotic</t>
        </is>
      </c>
      <c r="C22" t="n">
        <v>31</v>
      </c>
      <c r="D22" t="n">
        <v>0.0113</v>
      </c>
      <c r="E22" t="n">
        <v>50</v>
      </c>
      <c r="F22" t="n">
        <v>78</v>
      </c>
      <c r="G22" t="n">
        <v>0</v>
      </c>
      <c r="H22" t="n">
        <v>0.3906</v>
      </c>
    </row>
    <row r="23">
      <c r="A23" t="n">
        <v>22</v>
      </c>
      <c r="B23" t="inlineStr">
        <is>
          <t>Hydreigon</t>
        </is>
      </c>
      <c r="C23" t="n">
        <v>31</v>
      </c>
      <c r="D23" t="n">
        <v>0.0113</v>
      </c>
      <c r="E23" t="n">
        <v>54</v>
      </c>
      <c r="F23" t="n">
        <v>86</v>
      </c>
      <c r="G23" t="n">
        <v>1</v>
      </c>
      <c r="H23" t="n">
        <v>0.383</v>
      </c>
    </row>
    <row r="24">
      <c r="A24" t="n">
        <v>23</v>
      </c>
      <c r="B24" t="inlineStr">
        <is>
          <t>Pidgeot Control</t>
        </is>
      </c>
      <c r="C24" t="n">
        <v>28</v>
      </c>
      <c r="D24" t="n">
        <v>0.0102</v>
      </c>
      <c r="E24" t="n">
        <v>63</v>
      </c>
      <c r="F24" t="n">
        <v>61</v>
      </c>
      <c r="G24" t="n">
        <v>4</v>
      </c>
      <c r="H24" t="n">
        <v>0.4922</v>
      </c>
    </row>
    <row r="25">
      <c r="A25" t="n">
        <v>24</v>
      </c>
      <c r="B25" t="inlineStr">
        <is>
          <t>Dragapult Charizard</t>
        </is>
      </c>
      <c r="C25" t="n">
        <v>28</v>
      </c>
      <c r="D25" t="n">
        <v>0.0102</v>
      </c>
      <c r="E25" t="n">
        <v>66</v>
      </c>
      <c r="F25" t="n">
        <v>75</v>
      </c>
      <c r="G25" t="n">
        <v>3</v>
      </c>
      <c r="H25" t="n">
        <v>0.4583</v>
      </c>
    </row>
    <row r="26">
      <c r="A26" t="n">
        <v>25</v>
      </c>
      <c r="B26" t="inlineStr">
        <is>
          <t>Dragapult Iron Thorns</t>
        </is>
      </c>
      <c r="C26" t="n">
        <v>27</v>
      </c>
      <c r="D26" t="n">
        <v>0.009900000000000001</v>
      </c>
      <c r="E26" t="n">
        <v>71</v>
      </c>
      <c r="F26" t="n">
        <v>57</v>
      </c>
      <c r="G26" t="n">
        <v>3</v>
      </c>
      <c r="H26" t="n">
        <v>0.542</v>
      </c>
    </row>
    <row r="27">
      <c r="A27" t="n">
        <v>26</v>
      </c>
      <c r="B27" t="inlineStr">
        <is>
          <t>Dragapult</t>
        </is>
      </c>
      <c r="C27" t="n">
        <v>27</v>
      </c>
      <c r="D27" t="n">
        <v>0.009900000000000001</v>
      </c>
      <c r="E27" t="n">
        <v>67</v>
      </c>
      <c r="F27" t="n">
        <v>58</v>
      </c>
      <c r="G27" t="n">
        <v>2</v>
      </c>
      <c r="H27" t="n">
        <v>0.5276</v>
      </c>
    </row>
    <row r="28">
      <c r="A28" t="n">
        <v>27</v>
      </c>
      <c r="B28" t="inlineStr">
        <is>
          <t>Blissey</t>
        </is>
      </c>
      <c r="C28" t="n">
        <v>26</v>
      </c>
      <c r="D28" t="n">
        <v>0.0095</v>
      </c>
      <c r="E28" t="n">
        <v>66</v>
      </c>
      <c r="F28" t="n">
        <v>57</v>
      </c>
      <c r="G28" t="n">
        <v>1</v>
      </c>
      <c r="H28" t="n">
        <v>0.5323</v>
      </c>
    </row>
    <row r="29">
      <c r="A29" t="n">
        <v>28</v>
      </c>
      <c r="B29" t="inlineStr">
        <is>
          <t>Ceruledge</t>
        </is>
      </c>
      <c r="C29" t="n">
        <v>22</v>
      </c>
      <c r="D29" t="n">
        <v>0.008</v>
      </c>
      <c r="E29" t="n">
        <v>54</v>
      </c>
      <c r="F29" t="n">
        <v>50</v>
      </c>
      <c r="G29" t="n">
        <v>1</v>
      </c>
      <c r="H29" t="n">
        <v>0.5143</v>
      </c>
    </row>
    <row r="30">
      <c r="A30" t="n">
        <v>29</v>
      </c>
      <c r="B30" t="inlineStr">
        <is>
          <t>Froslass Munkidori</t>
        </is>
      </c>
      <c r="C30" t="n">
        <v>21</v>
      </c>
      <c r="D30" t="n">
        <v>0.0077</v>
      </c>
      <c r="E30" t="n">
        <v>54</v>
      </c>
      <c r="F30" t="n">
        <v>52</v>
      </c>
      <c r="G30" t="n">
        <v>0</v>
      </c>
      <c r="H30" t="n">
        <v>0.5094</v>
      </c>
    </row>
    <row r="31">
      <c r="A31" t="n">
        <v>30</v>
      </c>
      <c r="B31" t="inlineStr">
        <is>
          <t>Mimikyu Ogerpon</t>
        </is>
      </c>
      <c r="C31" t="n">
        <v>18</v>
      </c>
      <c r="D31" t="n">
        <v>0.0066</v>
      </c>
      <c r="E31" t="n">
        <v>24</v>
      </c>
      <c r="F31" t="n">
        <v>35</v>
      </c>
      <c r="G31" t="n">
        <v>1</v>
      </c>
      <c r="H31" t="n">
        <v>0.4</v>
      </c>
    </row>
    <row r="32">
      <c r="A32" t="n">
        <v>31</v>
      </c>
      <c r="B32" t="inlineStr">
        <is>
          <t>Miraidon</t>
        </is>
      </c>
      <c r="C32" t="n">
        <v>17</v>
      </c>
      <c r="D32" t="n">
        <v>0.0062</v>
      </c>
      <c r="E32" t="n">
        <v>26</v>
      </c>
      <c r="F32" t="n">
        <v>31</v>
      </c>
      <c r="G32" t="n">
        <v>0</v>
      </c>
      <c r="H32" t="n">
        <v>0.4561</v>
      </c>
    </row>
    <row r="33">
      <c r="A33" t="n">
        <v>32</v>
      </c>
      <c r="B33" t="inlineStr">
        <is>
          <t>Iono's Bellibolt</t>
        </is>
      </c>
      <c r="C33" t="n">
        <v>17</v>
      </c>
      <c r="D33" t="n">
        <v>0.0062</v>
      </c>
      <c r="E33" t="n">
        <v>34</v>
      </c>
      <c r="F33" t="n">
        <v>47</v>
      </c>
      <c r="G33" t="n">
        <v>0</v>
      </c>
      <c r="H33" t="n">
        <v>0.4198</v>
      </c>
    </row>
    <row r="34">
      <c r="A34" t="n">
        <v>33</v>
      </c>
      <c r="B34" t="inlineStr">
        <is>
          <t>Raging Bolt</t>
        </is>
      </c>
      <c r="C34" t="n">
        <v>16</v>
      </c>
      <c r="D34" t="n">
        <v>0.0058</v>
      </c>
      <c r="E34" t="n">
        <v>23</v>
      </c>
      <c r="F34" t="n">
        <v>43</v>
      </c>
      <c r="G34" t="n">
        <v>0</v>
      </c>
      <c r="H34" t="n">
        <v>0.3485</v>
      </c>
    </row>
    <row r="35">
      <c r="A35" t="n">
        <v>34</v>
      </c>
      <c r="B35" t="inlineStr">
        <is>
          <t>Charizard</t>
        </is>
      </c>
      <c r="C35" t="n">
        <v>15</v>
      </c>
      <c r="D35" t="n">
        <v>0.0055</v>
      </c>
      <c r="E35" t="n">
        <v>23</v>
      </c>
      <c r="F35" t="n">
        <v>36</v>
      </c>
      <c r="G35" t="n">
        <v>1</v>
      </c>
      <c r="H35" t="n">
        <v>0.3833</v>
      </c>
    </row>
    <row r="36">
      <c r="A36" t="n">
        <v>35</v>
      </c>
      <c r="B36" t="inlineStr">
        <is>
          <t>Ancient Box</t>
        </is>
      </c>
      <c r="C36" t="n">
        <v>11</v>
      </c>
      <c r="D36" t="n">
        <v>0.004</v>
      </c>
      <c r="E36" t="n">
        <v>23</v>
      </c>
      <c r="F36" t="n">
        <v>18</v>
      </c>
      <c r="G36" t="n">
        <v>0</v>
      </c>
      <c r="H36" t="n">
        <v>0.5610000000000001</v>
      </c>
    </row>
    <row r="37">
      <c r="A37" t="n">
        <v>36</v>
      </c>
      <c r="B37" t="inlineStr">
        <is>
          <t>Chien-Pao Baxcalibur</t>
        </is>
      </c>
      <c r="C37" t="n">
        <v>10</v>
      </c>
      <c r="D37" t="n">
        <v>0.0036</v>
      </c>
      <c r="E37" t="n">
        <v>9</v>
      </c>
      <c r="F37" t="n">
        <v>28</v>
      </c>
      <c r="G37" t="n">
        <v>0</v>
      </c>
      <c r="H37" t="n">
        <v>0.2432</v>
      </c>
    </row>
    <row r="38">
      <c r="A38" t="n">
        <v>37</v>
      </c>
      <c r="B38" t="inlineStr">
        <is>
          <t>Iron Thorns</t>
        </is>
      </c>
      <c r="C38" t="n">
        <v>8</v>
      </c>
      <c r="D38" t="n">
        <v>0.0029</v>
      </c>
      <c r="E38" t="n">
        <v>25</v>
      </c>
      <c r="F38" t="n">
        <v>17</v>
      </c>
      <c r="G38" t="n">
        <v>0</v>
      </c>
      <c r="H38" t="n">
        <v>0.5952</v>
      </c>
    </row>
    <row r="39">
      <c r="A39" t="n">
        <v>38</v>
      </c>
      <c r="B39" t="inlineStr">
        <is>
          <t>Palafin</t>
        </is>
      </c>
      <c r="C39" t="n">
        <v>8</v>
      </c>
      <c r="D39" t="n">
        <v>0.0029</v>
      </c>
      <c r="E39" t="n">
        <v>11</v>
      </c>
      <c r="F39" t="n">
        <v>17</v>
      </c>
      <c r="G39" t="n">
        <v>0</v>
      </c>
      <c r="H39" t="n">
        <v>0.3929</v>
      </c>
    </row>
    <row r="40">
      <c r="A40" t="n">
        <v>39</v>
      </c>
      <c r="B40" t="inlineStr">
        <is>
          <t>Dragapult Pidgeot</t>
        </is>
      </c>
      <c r="C40" t="n">
        <v>7</v>
      </c>
      <c r="D40" t="n">
        <v>0.0026</v>
      </c>
      <c r="E40" t="n">
        <v>31</v>
      </c>
      <c r="F40" t="n">
        <v>18</v>
      </c>
      <c r="G40" t="n">
        <v>2</v>
      </c>
      <c r="H40" t="n">
        <v>0.6078</v>
      </c>
    </row>
    <row r="41">
      <c r="A41" t="n">
        <v>40</v>
      </c>
      <c r="B41" t="inlineStr">
        <is>
          <t>Azumarill</t>
        </is>
      </c>
      <c r="C41" t="n">
        <v>6</v>
      </c>
      <c r="D41" t="n">
        <v>0.0022</v>
      </c>
      <c r="E41" t="n">
        <v>19</v>
      </c>
      <c r="F41" t="n">
        <v>17</v>
      </c>
      <c r="G41" t="n">
        <v>0</v>
      </c>
      <c r="H41" t="n">
        <v>0.5278</v>
      </c>
    </row>
    <row r="42">
      <c r="A42" t="n">
        <v>41</v>
      </c>
      <c r="B42" t="inlineStr">
        <is>
          <t>Okidogi</t>
        </is>
      </c>
      <c r="C42" t="n">
        <v>6</v>
      </c>
      <c r="D42" t="n">
        <v>0.0022</v>
      </c>
      <c r="E42" t="n">
        <v>11</v>
      </c>
      <c r="F42" t="n">
        <v>12</v>
      </c>
      <c r="G42" t="n">
        <v>1</v>
      </c>
      <c r="H42" t="n">
        <v>0.4583</v>
      </c>
    </row>
    <row r="43">
      <c r="A43" t="n">
        <v>42</v>
      </c>
      <c r="B43" t="inlineStr">
        <is>
          <t>Dipplin</t>
        </is>
      </c>
      <c r="C43" t="n">
        <v>6</v>
      </c>
      <c r="D43" t="n">
        <v>0.0022</v>
      </c>
      <c r="E43" t="n">
        <v>4</v>
      </c>
      <c r="F43" t="n">
        <v>13</v>
      </c>
      <c r="G43" t="n">
        <v>1</v>
      </c>
      <c r="H43" t="n">
        <v>0.2222</v>
      </c>
    </row>
    <row r="44">
      <c r="A44" t="n">
        <v>43</v>
      </c>
      <c r="B44" t="inlineStr">
        <is>
          <t>Alakazam</t>
        </is>
      </c>
      <c r="C44" t="n">
        <v>6</v>
      </c>
      <c r="D44" t="n">
        <v>0.0022</v>
      </c>
      <c r="E44" t="n">
        <v>1</v>
      </c>
      <c r="F44" t="n">
        <v>11</v>
      </c>
      <c r="G44" t="n">
        <v>0</v>
      </c>
      <c r="H44" t="n">
        <v>0.0833</v>
      </c>
    </row>
    <row r="45">
      <c r="A45" t="n">
        <v>44</v>
      </c>
      <c r="B45" t="inlineStr">
        <is>
          <t>Conkeldurr</t>
        </is>
      </c>
      <c r="C45" t="n">
        <v>5</v>
      </c>
      <c r="D45" t="n">
        <v>0.0018</v>
      </c>
      <c r="E45" t="n">
        <v>13</v>
      </c>
      <c r="F45" t="n">
        <v>7</v>
      </c>
      <c r="G45" t="n">
        <v>0</v>
      </c>
      <c r="H45" t="n">
        <v>0.65</v>
      </c>
    </row>
    <row r="46">
      <c r="A46" t="n">
        <v>45</v>
      </c>
      <c r="B46" t="inlineStr">
        <is>
          <t>Okidogi</t>
        </is>
      </c>
      <c r="C46" t="n">
        <v>5</v>
      </c>
      <c r="D46" t="n">
        <v>0.0018</v>
      </c>
      <c r="E46" t="n">
        <v>24</v>
      </c>
      <c r="F46" t="n">
        <v>12</v>
      </c>
      <c r="G46" t="n">
        <v>1</v>
      </c>
      <c r="H46" t="n">
        <v>0.6486</v>
      </c>
    </row>
    <row r="47">
      <c r="A47" t="n">
        <v>46</v>
      </c>
      <c r="B47" t="inlineStr">
        <is>
          <t>Tinkaton</t>
        </is>
      </c>
      <c r="C47" t="n">
        <v>5</v>
      </c>
      <c r="D47" t="n">
        <v>0.0018</v>
      </c>
      <c r="E47" t="n">
        <v>11</v>
      </c>
      <c r="F47" t="n">
        <v>9</v>
      </c>
      <c r="G47" t="n">
        <v>0</v>
      </c>
      <c r="H47" t="n">
        <v>0.55</v>
      </c>
    </row>
    <row r="48">
      <c r="A48" t="n">
        <v>47</v>
      </c>
      <c r="B48" t="inlineStr">
        <is>
          <t>Sinistcha Ogerpon</t>
        </is>
      </c>
      <c r="C48" t="n">
        <v>4</v>
      </c>
      <c r="D48" t="n">
        <v>0.0015</v>
      </c>
      <c r="E48" t="n">
        <v>17</v>
      </c>
      <c r="F48" t="n">
        <v>11</v>
      </c>
      <c r="G48" t="n">
        <v>1</v>
      </c>
      <c r="H48" t="n">
        <v>0.5862000000000001</v>
      </c>
    </row>
    <row r="49">
      <c r="A49" t="n">
        <v>48</v>
      </c>
      <c r="B49" t="inlineStr">
        <is>
          <t>Banette</t>
        </is>
      </c>
      <c r="C49" t="n">
        <v>4</v>
      </c>
      <c r="D49" t="n">
        <v>0.0015</v>
      </c>
      <c r="E49" t="n">
        <v>8</v>
      </c>
      <c r="F49" t="n">
        <v>12</v>
      </c>
      <c r="G49" t="n">
        <v>0</v>
      </c>
      <c r="H49" t="n">
        <v>0.4</v>
      </c>
    </row>
    <row r="50">
      <c r="A50" t="n">
        <v>49</v>
      </c>
      <c r="B50" t="inlineStr">
        <is>
          <t>Toedscruel</t>
        </is>
      </c>
      <c r="C50" t="n">
        <v>3</v>
      </c>
      <c r="D50" t="n">
        <v>0.0011</v>
      </c>
      <c r="E50" t="n">
        <v>8</v>
      </c>
      <c r="F50" t="n">
        <v>7</v>
      </c>
      <c r="G50" t="n">
        <v>0</v>
      </c>
      <c r="H50" t="n">
        <v>0.5333</v>
      </c>
    </row>
    <row r="51">
      <c r="A51" t="n">
        <v>50</v>
      </c>
      <c r="B51" t="inlineStr">
        <is>
          <t>Ogerpon</t>
        </is>
      </c>
      <c r="C51" t="n">
        <v>3</v>
      </c>
      <c r="D51" t="n">
        <v>0.0011</v>
      </c>
      <c r="E51" t="n">
        <v>6</v>
      </c>
      <c r="F51" t="n">
        <v>6</v>
      </c>
      <c r="G51" t="n">
        <v>0</v>
      </c>
      <c r="H51" t="n">
        <v>0.5</v>
      </c>
    </row>
    <row r="52">
      <c r="A52" t="n">
        <v>51</v>
      </c>
      <c r="B52" t="inlineStr">
        <is>
          <t>Hydrapple Ogerpon</t>
        </is>
      </c>
      <c r="C52" t="n">
        <v>3</v>
      </c>
      <c r="D52" t="n">
        <v>0.0011</v>
      </c>
      <c r="E52" t="n">
        <v>7</v>
      </c>
      <c r="F52" t="n">
        <v>7</v>
      </c>
      <c r="G52" t="n">
        <v>0</v>
      </c>
      <c r="H52" t="n">
        <v>0.5</v>
      </c>
    </row>
    <row r="53">
      <c r="A53" t="n">
        <v>52</v>
      </c>
      <c r="B53" t="inlineStr">
        <is>
          <t>Roaring Moon Dudunsparce</t>
        </is>
      </c>
      <c r="C53" t="n">
        <v>3</v>
      </c>
      <c r="D53" t="n">
        <v>0.0011</v>
      </c>
      <c r="E53" t="n">
        <v>7</v>
      </c>
      <c r="F53" t="n">
        <v>7</v>
      </c>
      <c r="G53" t="n">
        <v>0</v>
      </c>
      <c r="H53" t="n">
        <v>0.5</v>
      </c>
    </row>
    <row r="54">
      <c r="A54" t="n">
        <v>53</v>
      </c>
      <c r="B54" t="inlineStr">
        <is>
          <t>Greninja</t>
        </is>
      </c>
      <c r="C54" t="n">
        <v>3</v>
      </c>
      <c r="D54" t="n">
        <v>0.0011</v>
      </c>
      <c r="E54" t="n">
        <v>4</v>
      </c>
      <c r="F54" t="n">
        <v>5</v>
      </c>
      <c r="G54" t="n">
        <v>0</v>
      </c>
      <c r="H54" t="n">
        <v>0.4444</v>
      </c>
    </row>
    <row r="55">
      <c r="A55" t="n">
        <v>54</v>
      </c>
      <c r="B55" t="inlineStr">
        <is>
          <t>United Wings</t>
        </is>
      </c>
      <c r="C55" t="n">
        <v>3</v>
      </c>
      <c r="D55" t="n">
        <v>0.0011</v>
      </c>
      <c r="E55" t="n">
        <v>3</v>
      </c>
      <c r="F55" t="n">
        <v>10</v>
      </c>
      <c r="G55" t="n">
        <v>0</v>
      </c>
      <c r="H55" t="n">
        <v>0.2308</v>
      </c>
    </row>
    <row r="56">
      <c r="A56" t="n">
        <v>55</v>
      </c>
      <c r="B56" t="inlineStr">
        <is>
          <t>Flygon</t>
        </is>
      </c>
      <c r="C56" t="n">
        <v>3</v>
      </c>
      <c r="D56" t="n">
        <v>0.0011</v>
      </c>
      <c r="E56" t="n">
        <v>2</v>
      </c>
      <c r="F56" t="n">
        <v>7</v>
      </c>
      <c r="G56" t="n">
        <v>0</v>
      </c>
      <c r="H56" t="n">
        <v>0.2222</v>
      </c>
    </row>
    <row r="57">
      <c r="A57" t="n">
        <v>56</v>
      </c>
      <c r="B57" t="inlineStr">
        <is>
          <t>Meowscarada</t>
        </is>
      </c>
      <c r="C57" t="n">
        <v>2</v>
      </c>
      <c r="D57" t="n">
        <v>0.0007</v>
      </c>
      <c r="E57" t="n">
        <v>4</v>
      </c>
      <c r="F57" t="n">
        <v>3</v>
      </c>
      <c r="G57" t="n">
        <v>2</v>
      </c>
      <c r="H57" t="n">
        <v>0.4444</v>
      </c>
    </row>
    <row r="58">
      <c r="A58" t="n">
        <v>57</v>
      </c>
      <c r="B58" t="inlineStr">
        <is>
          <t>Aegislash</t>
        </is>
      </c>
      <c r="C58" t="n">
        <v>2</v>
      </c>
      <c r="D58" t="n">
        <v>0.0007</v>
      </c>
      <c r="E58" t="n">
        <v>2</v>
      </c>
      <c r="F58" t="n">
        <v>3</v>
      </c>
      <c r="G58" t="n">
        <v>0</v>
      </c>
      <c r="H58" t="n">
        <v>0.4</v>
      </c>
    </row>
    <row r="59">
      <c r="A59" t="n">
        <v>58</v>
      </c>
      <c r="B59" t="inlineStr">
        <is>
          <t>Future Box</t>
        </is>
      </c>
      <c r="C59" t="n">
        <v>2</v>
      </c>
      <c r="D59" t="n">
        <v>0.0007</v>
      </c>
      <c r="E59" t="n">
        <v>2</v>
      </c>
      <c r="F59" t="n">
        <v>3</v>
      </c>
      <c r="G59" t="n">
        <v>0</v>
      </c>
      <c r="H59" t="n">
        <v>0.4</v>
      </c>
    </row>
    <row r="60">
      <c r="A60" t="n">
        <v>59</v>
      </c>
      <c r="B60" t="inlineStr">
        <is>
          <t>Espathra Xatu</t>
        </is>
      </c>
      <c r="C60" t="n">
        <v>2</v>
      </c>
      <c r="D60" t="n">
        <v>0.0007</v>
      </c>
      <c r="E60" t="n">
        <v>3</v>
      </c>
      <c r="F60" t="n">
        <v>5</v>
      </c>
      <c r="G60" t="n">
        <v>0</v>
      </c>
      <c r="H60" t="n">
        <v>0.375</v>
      </c>
    </row>
    <row r="61">
      <c r="A61" t="n">
        <v>60</v>
      </c>
      <c r="B61" t="inlineStr">
        <is>
          <t>Alolan Exeggutor ex</t>
        </is>
      </c>
      <c r="C61" t="n">
        <v>2</v>
      </c>
      <c r="D61" t="n">
        <v>0.0007</v>
      </c>
      <c r="E61" t="n">
        <v>4</v>
      </c>
      <c r="F61" t="n">
        <v>7</v>
      </c>
      <c r="G61" t="n">
        <v>0</v>
      </c>
      <c r="H61" t="n">
        <v>0.3636</v>
      </c>
    </row>
    <row r="62">
      <c r="A62" t="n">
        <v>61</v>
      </c>
      <c r="B62" t="inlineStr">
        <is>
          <t>Clefable</t>
        </is>
      </c>
      <c r="C62" t="n">
        <v>2</v>
      </c>
      <c r="D62" t="n">
        <v>0.0007</v>
      </c>
      <c r="E62" t="n">
        <v>0</v>
      </c>
      <c r="F62" t="n">
        <v>3</v>
      </c>
      <c r="G62" t="n">
        <v>0</v>
      </c>
      <c r="H62" t="n">
        <v>0</v>
      </c>
    </row>
    <row r="63">
      <c r="A63" t="n">
        <v>62</v>
      </c>
      <c r="B63" t="inlineStr">
        <is>
          <t>Cornerstone Mask Ogerpon</t>
        </is>
      </c>
      <c r="C63" t="n">
        <v>1</v>
      </c>
      <c r="D63" t="n">
        <v>0.0004</v>
      </c>
      <c r="E63" t="n">
        <v>5</v>
      </c>
      <c r="F63" t="n">
        <v>2</v>
      </c>
      <c r="G63" t="n">
        <v>0</v>
      </c>
      <c r="H63" t="n">
        <v>0.7143</v>
      </c>
    </row>
    <row r="64">
      <c r="A64" t="n">
        <v>63</v>
      </c>
      <c r="B64" t="inlineStr">
        <is>
          <t>Incineroar</t>
        </is>
      </c>
      <c r="C64" t="n">
        <v>1</v>
      </c>
      <c r="D64" t="n">
        <v>0.0004</v>
      </c>
      <c r="E64" t="n">
        <v>1</v>
      </c>
      <c r="F64" t="n">
        <v>1</v>
      </c>
      <c r="G64" t="n">
        <v>0</v>
      </c>
      <c r="H64" t="n">
        <v>0.5</v>
      </c>
    </row>
    <row r="65">
      <c r="A65" t="n">
        <v>64</v>
      </c>
      <c r="B65" t="inlineStr">
        <is>
          <t>Garchomp</t>
        </is>
      </c>
      <c r="C65" t="n">
        <v>1</v>
      </c>
      <c r="D65" t="n">
        <v>0.0004</v>
      </c>
      <c r="E65" t="n">
        <v>2</v>
      </c>
      <c r="F65" t="n">
        <v>4</v>
      </c>
      <c r="G65" t="n">
        <v>0</v>
      </c>
      <c r="H65" t="n">
        <v>0.3333</v>
      </c>
    </row>
    <row r="66">
      <c r="A66" t="n">
        <v>65</v>
      </c>
      <c r="B66" t="inlineStr">
        <is>
          <t>Slaking</t>
        </is>
      </c>
      <c r="C66" t="n">
        <v>1</v>
      </c>
      <c r="D66" t="n">
        <v>0.0004</v>
      </c>
      <c r="E66" t="n">
        <v>1</v>
      </c>
      <c r="F66" t="n">
        <v>4</v>
      </c>
      <c r="G66" t="n">
        <v>0</v>
      </c>
      <c r="H66" t="n">
        <v>0.2</v>
      </c>
    </row>
    <row r="67">
      <c r="A67" t="n">
        <v>66</v>
      </c>
      <c r="B67" t="inlineStr">
        <is>
          <t>Archaludon Dialga</t>
        </is>
      </c>
      <c r="C67" t="n">
        <v>1</v>
      </c>
      <c r="D67" t="n">
        <v>0.0004</v>
      </c>
      <c r="E67" t="n">
        <v>0</v>
      </c>
      <c r="F67" t="n">
        <v>1</v>
      </c>
      <c r="G67" t="n">
        <v>0</v>
      </c>
      <c r="H67" t="n">
        <v>0</v>
      </c>
    </row>
    <row r="68">
      <c r="A68" t="n">
        <v>67</v>
      </c>
      <c r="B68" t="inlineStr">
        <is>
          <t>Galvantula</t>
        </is>
      </c>
      <c r="C68" t="n">
        <v>1</v>
      </c>
      <c r="D68" t="n">
        <v>0.0004</v>
      </c>
      <c r="E68" t="n">
        <v>0</v>
      </c>
      <c r="F68" t="n">
        <v>2</v>
      </c>
      <c r="G68" t="n">
        <v>0</v>
      </c>
      <c r="H68" t="n">
        <v>0</v>
      </c>
    </row>
    <row r="69">
      <c r="A69" t="n">
        <v>68</v>
      </c>
      <c r="B69" t="inlineStr">
        <is>
          <t>Tsareena</t>
        </is>
      </c>
      <c r="C69" t="n">
        <v>1</v>
      </c>
      <c r="D69" t="n">
        <v>0.0004</v>
      </c>
      <c r="E69" t="n">
        <v>0</v>
      </c>
      <c r="F69" t="n">
        <v>1</v>
      </c>
      <c r="G69" t="n">
        <v>0</v>
      </c>
      <c r="H69" t="n">
        <v>0</v>
      </c>
    </row>
    <row r="70">
      <c r="A70" t="n">
        <v>69</v>
      </c>
      <c r="B70" t="inlineStr">
        <is>
          <t>Gouging Fire</t>
        </is>
      </c>
      <c r="C70" t="n">
        <v>1</v>
      </c>
      <c r="D70" t="n">
        <v>0.0004</v>
      </c>
      <c r="E70" t="n">
        <v>0</v>
      </c>
      <c r="F70" t="n">
        <v>3</v>
      </c>
      <c r="G70" t="n">
        <v>0</v>
      </c>
      <c r="H70" t="n">
        <v>0</v>
      </c>
    </row>
    <row r="71">
      <c r="A71" t="n">
        <v>70</v>
      </c>
      <c r="B71" t="inlineStr">
        <is>
          <t>Gengar</t>
        </is>
      </c>
      <c r="C71" t="n">
        <v>1</v>
      </c>
      <c r="D71" t="n">
        <v>0.0004</v>
      </c>
      <c r="E71" t="n">
        <v>0</v>
      </c>
      <c r="F71" t="n">
        <v>2</v>
      </c>
      <c r="G71" t="n">
        <v>0</v>
      </c>
      <c r="H71" t="n">
        <v>0</v>
      </c>
    </row>
    <row r="72">
      <c r="A72" t="n">
        <v>71</v>
      </c>
      <c r="B72" t="inlineStr">
        <is>
          <t>Great Tusk Mill</t>
        </is>
      </c>
      <c r="C72" t="n">
        <v>1</v>
      </c>
      <c r="D72" t="n">
        <v>0.0004</v>
      </c>
      <c r="E72" t="n">
        <v>0</v>
      </c>
      <c r="F72" t="n">
        <v>1</v>
      </c>
      <c r="G72" t="n">
        <v>0</v>
      </c>
      <c r="H72" t="n">
        <v>0</v>
      </c>
    </row>
    <row r="73">
      <c r="A73" t="n">
        <v>72</v>
      </c>
      <c r="B73" t="inlineStr">
        <is>
          <t>Poison Terapagos</t>
        </is>
      </c>
      <c r="C73" t="n">
        <v>1</v>
      </c>
      <c r="D73" t="n">
        <v>0.0004</v>
      </c>
      <c r="E73" t="n">
        <v>0</v>
      </c>
      <c r="F73" t="n">
        <v>1</v>
      </c>
      <c r="G73" t="n">
        <v>0</v>
      </c>
      <c r="H7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4" sqref="H34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F6" sqref="F6"/>
    </sheetView>
  </sheetViews>
  <sheetFormatPr baseColWidth="8" defaultRowHeight="15"/>
  <cols>
    <col width="1.5703125" customWidth="1" style="29" min="11" max="11"/>
    <col width="1.42578125" customWidth="1" style="29" min="15" max="15"/>
  </cols>
  <sheetData>
    <row r="1" ht="16.5" customHeight="1" s="29" thickBot="1" thickTop="1">
      <c r="A1" t="inlineStr">
        <is>
          <t>Win</t>
        </is>
      </c>
      <c r="B1" t="inlineStr">
        <is>
          <t>Mew Genesect</t>
        </is>
      </c>
      <c r="G1" s="21" t="inlineStr">
        <is>
          <t>Win</t>
        </is>
      </c>
      <c r="H1" s="22" t="n"/>
      <c r="I1" s="30" t="inlineStr">
        <is>
          <t>Loss</t>
        </is>
      </c>
      <c r="J1" s="30" t="inlineStr">
        <is>
          <t>Win Rate</t>
        </is>
      </c>
      <c r="K1" s="22" t="n"/>
      <c r="L1" s="8" t="n"/>
    </row>
    <row r="2" ht="16.5" customHeight="1" s="29" thickBot="1" thickTop="1">
      <c r="A2" t="inlineStr">
        <is>
          <t>Win</t>
        </is>
      </c>
      <c r="B2" t="inlineStr">
        <is>
          <t>Gardi</t>
        </is>
      </c>
      <c r="G2" s="19">
        <f>COUNTIF(A:A,"Win")</f>
        <v/>
      </c>
      <c r="H2" s="20" t="n"/>
      <c r="I2" s="19">
        <f>COUNTIF(A:A,"Loss")</f>
        <v/>
      </c>
      <c r="J2" s="23">
        <f>(G2/(G2+I2))</f>
        <v/>
      </c>
      <c r="K2" s="24" t="n"/>
    </row>
    <row r="3" ht="15.75" customHeight="1" s="29" thickTop="1">
      <c r="A3" t="inlineStr">
        <is>
          <t>Loss</t>
        </is>
      </c>
      <c r="B3" t="inlineStr">
        <is>
          <t>Lostbox</t>
        </is>
      </c>
      <c r="P3" s="3" t="n"/>
      <c r="Q3" s="3" t="n"/>
    </row>
    <row r="4" ht="15.75" customHeight="1" s="29" thickBot="1">
      <c r="A4" t="inlineStr">
        <is>
          <t>Win</t>
        </is>
      </c>
      <c r="B4" t="inlineStr">
        <is>
          <t>Gardi</t>
        </is>
      </c>
      <c r="P4" s="3" t="n"/>
      <c r="Q4" s="3" t="n"/>
    </row>
    <row r="5">
      <c r="F5" s="15" t="n"/>
      <c r="G5" s="28" t="inlineStr">
        <is>
          <t>Matchups</t>
        </is>
      </c>
      <c r="I5" s="28" t="inlineStr">
        <is>
          <t>#</t>
        </is>
      </c>
      <c r="J5" s="28" t="inlineStr">
        <is>
          <t>Win %</t>
        </is>
      </c>
      <c r="K5" s="9" t="n"/>
      <c r="L5" s="25" t="inlineStr">
        <is>
          <t>Sorted matchups</t>
        </is>
      </c>
      <c r="M5" s="26" t="n"/>
      <c r="N5" s="27" t="n"/>
      <c r="O5" s="13" t="n"/>
    </row>
    <row r="6">
      <c r="F6" s="15" t="n"/>
      <c r="G6" s="10">
        <f t="array" ref="G6:G8">_xlfn.UNIQUE(_xlfn._xlws.FILTER(B:B,B:B&lt;&gt;""))</f>
        <v/>
      </c>
      <c r="H6" s="10" t="n"/>
      <c r="I6" s="28">
        <f>COUNTIF(A:B,G6)</f>
        <v/>
      </c>
      <c r="J6" s="11">
        <f>(COUNTIFS(B:B,G6,A:A,"Win"))/I6</f>
        <v/>
      </c>
      <c r="K6" s="6" t="n"/>
      <c r="L6" s="1">
        <f t="array" ref="L6:L99">_xlfn.SORTBY(G6:G99,J6:J99,-1)</f>
        <v/>
      </c>
      <c r="M6" s="3">
        <f>IFERROR((VLOOKUP(L6,$G$6:$I$33,3,FALSE)),"")</f>
        <v/>
      </c>
      <c r="N6" s="16">
        <f t="array" ref="N6:N33">_xlfn._xlws.SORT(J6:J33,1,-1)</f>
        <v/>
      </c>
      <c r="O6" s="13" t="n"/>
    </row>
    <row r="7">
      <c r="F7" s="15" t="n"/>
      <c r="G7" s="10" t="inlineStr">
        <is>
          <t>Gardi</t>
        </is>
      </c>
      <c r="H7" s="10" t="n"/>
      <c r="I7" s="28">
        <f>COUNTIF(A:B,G7)</f>
        <v/>
      </c>
      <c r="J7" s="11">
        <f>(COUNTIFS(B:B,G7,A:A,"Win"))/I7</f>
        <v/>
      </c>
      <c r="K7" s="6" t="n"/>
      <c r="L7" s="1" t="inlineStr">
        <is>
          <t>Gardi</t>
        </is>
      </c>
      <c r="M7" s="3">
        <f>IFERROR((VLOOKUP(L7,$G$6:$I$33,3,FALSE)),"")</f>
        <v/>
      </c>
      <c r="N7" s="16" t="n">
        <v>1</v>
      </c>
      <c r="O7" s="13" t="n"/>
    </row>
    <row r="8">
      <c r="F8" s="15" t="n"/>
      <c r="G8" s="10" t="inlineStr">
        <is>
          <t>Lostbox</t>
        </is>
      </c>
      <c r="H8" s="10" t="n"/>
      <c r="I8" s="28">
        <f>COUNTIF(A:B,G8)</f>
        <v/>
      </c>
      <c r="J8" s="11">
        <f>(COUNTIFS(B:B,G8,A:A,"Win"))/I8</f>
        <v/>
      </c>
      <c r="K8" s="6" t="n"/>
      <c r="L8" s="1" t="inlineStr">
        <is>
          <t>Lostbox</t>
        </is>
      </c>
      <c r="M8" s="3">
        <f>IFERROR((VLOOKUP(L8,$G$6:$I$33,3,FALSE)),"")</f>
        <v/>
      </c>
      <c r="N8" s="16" t="n">
        <v>0</v>
      </c>
      <c r="O8" s="13" t="n"/>
    </row>
    <row r="9">
      <c r="F9" s="15" t="n"/>
      <c r="G9" s="10" t="n"/>
      <c r="H9" s="10" t="n"/>
      <c r="I9" s="28">
        <f>COUNTIF(A:B,G9)</f>
        <v/>
      </c>
      <c r="J9" s="11" t="n"/>
      <c r="K9" s="6" t="n"/>
      <c r="L9" s="1" t="n">
        <v>0</v>
      </c>
      <c r="M9" s="3">
        <f>IFERROR((VLOOKUP(L9,$G$6:$I$33,3,FALSE)),"")</f>
        <v/>
      </c>
      <c r="N9" s="16" t="n">
        <v>0</v>
      </c>
      <c r="O9" s="13" t="n"/>
    </row>
    <row r="10">
      <c r="F10" s="15" t="n"/>
      <c r="G10" s="10" t="n"/>
      <c r="H10" s="10" t="n"/>
      <c r="I10" s="28">
        <f>COUNTIF(A:B,G10)</f>
        <v/>
      </c>
      <c r="J10" s="11" t="n"/>
      <c r="K10" s="6" t="n"/>
      <c r="L10" s="1" t="n">
        <v>0</v>
      </c>
      <c r="M10" s="3">
        <f>IFERROR((VLOOKUP(L10,$G$6:$I$33,3,FALSE)),"")</f>
        <v/>
      </c>
      <c r="N10" s="16" t="n">
        <v>0</v>
      </c>
      <c r="O10" s="13" t="n"/>
    </row>
    <row r="11">
      <c r="F11" s="15" t="n"/>
      <c r="G11" s="10" t="n"/>
      <c r="H11" s="10" t="n"/>
      <c r="I11" s="28">
        <f>COUNTIF(A:B,G11)</f>
        <v/>
      </c>
      <c r="J11" s="11" t="n"/>
      <c r="K11" s="6" t="n"/>
      <c r="L11" s="1" t="n">
        <v>0</v>
      </c>
      <c r="M11" s="3">
        <f>IFERROR((VLOOKUP(L11,$G$6:$I$33,3,FALSE)),"")</f>
        <v/>
      </c>
      <c r="N11" s="16" t="n">
        <v>0</v>
      </c>
      <c r="O11" s="13" t="n"/>
    </row>
    <row r="12">
      <c r="F12" s="15" t="n"/>
      <c r="G12" s="10" t="n"/>
      <c r="H12" s="10" t="n"/>
      <c r="I12" s="28">
        <f>COUNTIF(A:B,G12)</f>
        <v/>
      </c>
      <c r="J12" s="11" t="n"/>
      <c r="K12" s="6" t="n"/>
      <c r="L12" s="1" t="n">
        <v>0</v>
      </c>
      <c r="M12" s="3">
        <f>IFERROR((VLOOKUP(L12,$G$6:$I$33,3,FALSE)),"")</f>
        <v/>
      </c>
      <c r="N12" s="16" t="n">
        <v>0</v>
      </c>
      <c r="O12" s="13" t="n"/>
    </row>
    <row r="13">
      <c r="F13" s="15" t="n"/>
      <c r="G13" s="10" t="n"/>
      <c r="H13" s="10" t="n"/>
      <c r="I13" s="28">
        <f>COUNTIF(A:B,G13)</f>
        <v/>
      </c>
      <c r="J13" s="11" t="n"/>
      <c r="K13" s="6" t="n"/>
      <c r="L13" s="1" t="n">
        <v>0</v>
      </c>
      <c r="M13" s="3">
        <f>IFERROR((VLOOKUP(L13,$G$6:$I$33,3,FALSE)),"")</f>
        <v/>
      </c>
      <c r="N13" s="16" t="n">
        <v>0</v>
      </c>
      <c r="O13" s="13" t="n"/>
    </row>
    <row r="14">
      <c r="F14" s="15" t="n"/>
      <c r="G14" s="10" t="n"/>
      <c r="H14" s="10" t="n"/>
      <c r="I14" s="28">
        <f>COUNTIF(A:B,G14)</f>
        <v/>
      </c>
      <c r="J14" s="11" t="n"/>
      <c r="K14" s="6" t="n"/>
      <c r="L14" s="1" t="n">
        <v>0</v>
      </c>
      <c r="M14" s="3">
        <f>IFERROR((VLOOKUP(L14,$G$6:$I$33,3,FALSE)),"")</f>
        <v/>
      </c>
      <c r="N14" s="16" t="n">
        <v>0</v>
      </c>
      <c r="O14" s="13" t="n"/>
    </row>
    <row r="15">
      <c r="F15" s="15" t="n"/>
      <c r="G15" s="10" t="n"/>
      <c r="H15" s="10" t="n"/>
      <c r="I15" s="28">
        <f>COUNTIF(A:B,G15)</f>
        <v/>
      </c>
      <c r="J15" s="11" t="n"/>
      <c r="K15" s="6" t="n"/>
      <c r="L15" s="1" t="n">
        <v>0</v>
      </c>
      <c r="M15" s="3">
        <f>IFERROR((VLOOKUP(L15,$G$6:$I$33,3,FALSE)),"")</f>
        <v/>
      </c>
      <c r="N15" s="16" t="n">
        <v>0</v>
      </c>
      <c r="O15" s="13" t="n"/>
    </row>
    <row r="16">
      <c r="F16" s="15" t="n"/>
      <c r="G16" s="10" t="n"/>
      <c r="H16" s="10" t="n"/>
      <c r="I16" s="28">
        <f>COUNTIF(A:B,G16)</f>
        <v/>
      </c>
      <c r="J16" s="11" t="n"/>
      <c r="K16" s="6" t="n"/>
      <c r="L16" s="1" t="n">
        <v>0</v>
      </c>
      <c r="M16" s="3">
        <f>IFERROR((VLOOKUP(L16,$G$6:$I$33,3,FALSE)),"")</f>
        <v/>
      </c>
      <c r="N16" s="16" t="n">
        <v>0</v>
      </c>
      <c r="O16" s="13" t="n"/>
    </row>
    <row r="17">
      <c r="F17" s="15" t="n"/>
      <c r="G17" s="10" t="n"/>
      <c r="H17" s="10" t="n"/>
      <c r="I17" s="28">
        <f>COUNTIF(A:B,G17)</f>
        <v/>
      </c>
      <c r="J17" s="11" t="n"/>
      <c r="K17" s="6" t="n"/>
      <c r="L17" s="1" t="n">
        <v>0</v>
      </c>
      <c r="M17" s="3">
        <f>IFERROR((VLOOKUP(L17,$G$6:$I$33,3,FALSE)),"")</f>
        <v/>
      </c>
      <c r="N17" s="16" t="n">
        <v>0</v>
      </c>
      <c r="O17" s="13" t="n"/>
    </row>
    <row r="18">
      <c r="F18" s="15" t="n"/>
      <c r="G18" s="10" t="n"/>
      <c r="H18" s="10" t="n"/>
      <c r="I18" s="28">
        <f>COUNTIF(A:B,G18)</f>
        <v/>
      </c>
      <c r="J18" s="11" t="n"/>
      <c r="K18" s="6" t="n"/>
      <c r="L18" s="1" t="n">
        <v>0</v>
      </c>
      <c r="M18" s="3">
        <f>IFERROR((VLOOKUP(L18,$G$6:$I$33,3,FALSE)),"")</f>
        <v/>
      </c>
      <c r="N18" s="16" t="n">
        <v>0</v>
      </c>
      <c r="O18" s="13" t="n"/>
    </row>
    <row r="19">
      <c r="F19" s="15" t="n"/>
      <c r="G19" s="10" t="n"/>
      <c r="H19" s="10" t="n"/>
      <c r="I19" s="28">
        <f>COUNTIF(A:B,G19)</f>
        <v/>
      </c>
      <c r="J19" s="11" t="n"/>
      <c r="K19" s="6" t="n"/>
      <c r="L19" s="1" t="n">
        <v>0</v>
      </c>
      <c r="M19" s="3">
        <f>IFERROR((VLOOKUP(L19,$G$6:$I$33,3,FALSE)),"")</f>
        <v/>
      </c>
      <c r="N19" s="16" t="n">
        <v>0</v>
      </c>
      <c r="O19" s="13" t="n"/>
    </row>
    <row r="20">
      <c r="F20" s="15" t="n"/>
      <c r="G20" s="10" t="n"/>
      <c r="H20" s="10" t="n"/>
      <c r="I20" s="28">
        <f>COUNTIF(A:B,G20)</f>
        <v/>
      </c>
      <c r="J20" s="11" t="n"/>
      <c r="K20" s="6" t="n"/>
      <c r="L20" s="1" t="n">
        <v>0</v>
      </c>
      <c r="M20" s="3">
        <f>IFERROR((VLOOKUP(L20,$G$6:$I$33,3,FALSE)),"")</f>
        <v/>
      </c>
      <c r="N20" s="16" t="n">
        <v>0</v>
      </c>
      <c r="O20" s="13" t="n"/>
    </row>
    <row r="21">
      <c r="F21" s="15" t="n"/>
      <c r="G21" s="10" t="n"/>
      <c r="H21" s="10" t="n"/>
      <c r="I21" s="28">
        <f>COUNTIF(A:B,G21)</f>
        <v/>
      </c>
      <c r="J21" s="11" t="n"/>
      <c r="K21" s="6" t="n"/>
      <c r="L21" s="1" t="n">
        <v>0</v>
      </c>
      <c r="M21" s="3">
        <f>IFERROR((VLOOKUP(L21,$G$6:$I$33,3,FALSE)),"")</f>
        <v/>
      </c>
      <c r="N21" s="16" t="n">
        <v>0</v>
      </c>
      <c r="O21" s="13" t="n"/>
    </row>
    <row r="22">
      <c r="F22" s="15" t="n"/>
      <c r="G22" s="10" t="n"/>
      <c r="H22" s="10" t="n"/>
      <c r="I22" s="28">
        <f>COUNTIF(A:B,G22)</f>
        <v/>
      </c>
      <c r="J22" s="11" t="n"/>
      <c r="K22" s="6" t="n"/>
      <c r="L22" s="1" t="n">
        <v>0</v>
      </c>
      <c r="M22" s="3">
        <f>IFERROR((VLOOKUP(L22,$G$6:$I$33,3,FALSE)),"")</f>
        <v/>
      </c>
      <c r="N22" s="16" t="n">
        <v>0</v>
      </c>
      <c r="O22" s="13" t="n"/>
    </row>
    <row r="23">
      <c r="F23" s="15" t="n"/>
      <c r="G23" s="10" t="n"/>
      <c r="H23" s="10" t="n"/>
      <c r="I23" s="28">
        <f>COUNTIF(A:B,G23)</f>
        <v/>
      </c>
      <c r="J23" s="11" t="n"/>
      <c r="K23" s="6" t="n"/>
      <c r="L23" s="1" t="n">
        <v>0</v>
      </c>
      <c r="M23" s="3">
        <f>IFERROR((VLOOKUP(L23,$G$6:$I$33,3,FALSE)),"")</f>
        <v/>
      </c>
      <c r="N23" s="16" t="n">
        <v>0</v>
      </c>
      <c r="O23" s="13" t="n"/>
    </row>
    <row r="24">
      <c r="F24" s="15" t="n"/>
      <c r="G24" s="10" t="n"/>
      <c r="H24" s="10" t="n"/>
      <c r="I24" s="28">
        <f>COUNTIF(A:B,G24)</f>
        <v/>
      </c>
      <c r="J24" s="11" t="n"/>
      <c r="K24" s="6" t="n"/>
      <c r="L24" s="1" t="n">
        <v>0</v>
      </c>
      <c r="M24" s="3">
        <f>IFERROR((VLOOKUP(L24,$G$6:$I$33,3,FALSE)),"")</f>
        <v/>
      </c>
      <c r="N24" s="16" t="n">
        <v>0</v>
      </c>
      <c r="O24" s="13" t="n"/>
    </row>
    <row r="25">
      <c r="F25" s="15" t="n"/>
      <c r="G25" s="10" t="n"/>
      <c r="H25" s="10" t="n"/>
      <c r="I25" s="28">
        <f>COUNTIF(A:B,G25)</f>
        <v/>
      </c>
      <c r="J25" s="11" t="n"/>
      <c r="K25" s="6" t="n"/>
      <c r="L25" s="1" t="n">
        <v>0</v>
      </c>
      <c r="M25" s="3">
        <f>IFERROR((VLOOKUP(L25,$G$6:$I$33,3,FALSE)),"")</f>
        <v/>
      </c>
      <c r="N25" s="16" t="n">
        <v>0</v>
      </c>
      <c r="O25" s="13" t="n"/>
    </row>
    <row r="26">
      <c r="F26" s="15" t="n"/>
      <c r="G26" s="10" t="n"/>
      <c r="H26" s="10" t="n"/>
      <c r="I26" s="28">
        <f>COUNTIF(A:B,G26)</f>
        <v/>
      </c>
      <c r="J26" s="12" t="n"/>
      <c r="K26" s="6" t="n"/>
      <c r="L26" s="1" t="n">
        <v>0</v>
      </c>
      <c r="M26" s="3">
        <f>IFERROR((VLOOKUP(L26,$G$6:$I$33,3,FALSE)),"")</f>
        <v/>
      </c>
      <c r="N26" s="16" t="n">
        <v>0</v>
      </c>
      <c r="O26" s="13" t="n"/>
    </row>
    <row r="27">
      <c r="F27" s="15" t="n"/>
      <c r="G27" s="10" t="n"/>
      <c r="H27" s="10" t="n"/>
      <c r="I27" s="28">
        <f>COUNTIF(A:B,G27)</f>
        <v/>
      </c>
      <c r="J27" s="12" t="n"/>
      <c r="K27" s="6" t="n"/>
      <c r="L27" s="1" t="n">
        <v>0</v>
      </c>
      <c r="M27" s="3">
        <f>IFERROR((VLOOKUP(L27,$G$6:$I$33,3,FALSE)),"")</f>
        <v/>
      </c>
      <c r="N27" s="16" t="n">
        <v>0</v>
      </c>
      <c r="O27" s="13" t="n"/>
    </row>
    <row r="28">
      <c r="F28" s="15" t="n"/>
      <c r="G28" s="10" t="n"/>
      <c r="H28" s="10" t="n"/>
      <c r="I28" s="28">
        <f>COUNTIF(A:B,G28)</f>
        <v/>
      </c>
      <c r="J28" s="10" t="n"/>
      <c r="K28" s="6" t="n"/>
      <c r="L28" s="1" t="n">
        <v>0</v>
      </c>
      <c r="M28" s="3">
        <f>IFERROR((VLOOKUP(L28,$G$6:$I$33,3,FALSE)),"")</f>
        <v/>
      </c>
      <c r="N28" s="16" t="n">
        <v>0</v>
      </c>
      <c r="O28" s="13" t="n"/>
    </row>
    <row r="29">
      <c r="F29" s="15" t="n"/>
      <c r="G29" s="10" t="n"/>
      <c r="H29" s="10" t="n"/>
      <c r="I29" s="28">
        <f>COUNTIF(A:B,G29)</f>
        <v/>
      </c>
      <c r="J29" s="10" t="n"/>
      <c r="K29" s="6" t="n"/>
      <c r="L29" s="1" t="n">
        <v>0</v>
      </c>
      <c r="M29" s="3">
        <f>IFERROR((VLOOKUP(L29,$G$6:$I$33,3,FALSE)),"")</f>
        <v/>
      </c>
      <c r="N29" s="16" t="n">
        <v>0</v>
      </c>
      <c r="O29" s="13" t="n"/>
    </row>
    <row r="30">
      <c r="F30" s="15" t="n"/>
      <c r="G30" s="10" t="n"/>
      <c r="H30" s="10" t="n"/>
      <c r="I30" s="28">
        <f>COUNTIF(A:B,G30)</f>
        <v/>
      </c>
      <c r="J30" s="10" t="n"/>
      <c r="K30" s="6" t="n"/>
      <c r="L30" s="1" t="n">
        <v>0</v>
      </c>
      <c r="M30" s="3">
        <f>IFERROR((VLOOKUP(L30,$G$6:$I$33,3,FALSE)),"")</f>
        <v/>
      </c>
      <c r="N30" s="16" t="n">
        <v>0</v>
      </c>
      <c r="O30" s="13" t="n"/>
    </row>
    <row r="31">
      <c r="F31" s="15" t="n"/>
      <c r="G31" s="10" t="n"/>
      <c r="H31" s="10" t="n"/>
      <c r="I31" s="28">
        <f>COUNTIF(A:B,G31)</f>
        <v/>
      </c>
      <c r="J31" s="10" t="n"/>
      <c r="K31" s="6" t="n"/>
      <c r="L31" s="1" t="n">
        <v>0</v>
      </c>
      <c r="M31" s="3">
        <f>IFERROR((VLOOKUP(L31,$G$6:$I$33,3,FALSE)),"")</f>
        <v/>
      </c>
      <c r="N31" s="16" t="n">
        <v>0</v>
      </c>
      <c r="O31" s="13" t="n"/>
    </row>
    <row r="32">
      <c r="F32" s="15" t="n"/>
      <c r="G32" s="10" t="n"/>
      <c r="H32" s="10" t="n"/>
      <c r="I32" s="28">
        <f>COUNTIF(A:B,G32)</f>
        <v/>
      </c>
      <c r="J32" s="10" t="n"/>
      <c r="K32" s="6" t="n"/>
      <c r="L32" s="1" t="n">
        <v>0</v>
      </c>
      <c r="M32" s="3">
        <f>IFERROR((VLOOKUP(L32,$G$6:$I$33,3,FALSE)),"")</f>
        <v/>
      </c>
      <c r="N32" s="16" t="n">
        <v>0</v>
      </c>
      <c r="O32" s="13" t="n"/>
    </row>
    <row r="33" ht="15.75" customHeight="1" s="29" thickBot="1">
      <c r="F33" s="15" t="n"/>
      <c r="G33" s="10" t="n"/>
      <c r="H33" s="10" t="n"/>
      <c r="I33" s="28">
        <f>COUNTIF(A:B,G33)</f>
        <v/>
      </c>
      <c r="J33" s="10" t="n"/>
      <c r="K33" s="7" t="n"/>
      <c r="L33" s="2" t="n">
        <v>0</v>
      </c>
      <c r="M33" s="17">
        <f>IFERROR((VLOOKUP(L33,$G$6:$I$33,3,FALSE)),"")</f>
        <v/>
      </c>
      <c r="N33" s="18" t="n">
        <v>0</v>
      </c>
      <c r="O33" s="13" t="n"/>
    </row>
    <row r="34">
      <c r="L34" t="n">
        <v>0</v>
      </c>
    </row>
    <row r="35">
      <c r="L35" t="n">
        <v>0</v>
      </c>
    </row>
    <row r="36">
      <c r="L36" t="n">
        <v>0</v>
      </c>
    </row>
    <row r="37">
      <c r="L37" t="n">
        <v>0</v>
      </c>
    </row>
    <row r="38">
      <c r="L38" t="n">
        <v>0</v>
      </c>
    </row>
    <row r="39">
      <c r="L39" t="n">
        <v>0</v>
      </c>
    </row>
    <row r="40">
      <c r="L40" t="n">
        <v>0</v>
      </c>
    </row>
    <row r="41">
      <c r="L41" t="n">
        <v>0</v>
      </c>
    </row>
    <row r="42">
      <c r="L42" t="n">
        <v>0</v>
      </c>
    </row>
    <row r="43">
      <c r="L43" t="n">
        <v>0</v>
      </c>
    </row>
    <row r="44">
      <c r="L44" t="n">
        <v>0</v>
      </c>
    </row>
    <row r="45">
      <c r="L45" t="n">
        <v>0</v>
      </c>
    </row>
    <row r="46">
      <c r="L46" t="n">
        <v>0</v>
      </c>
    </row>
    <row r="47">
      <c r="L47" t="n">
        <v>0</v>
      </c>
    </row>
    <row r="48">
      <c r="L48" t="n">
        <v>0</v>
      </c>
    </row>
    <row r="49">
      <c r="L49" t="n">
        <v>0</v>
      </c>
    </row>
    <row r="50">
      <c r="L50" t="n">
        <v>0</v>
      </c>
    </row>
    <row r="51">
      <c r="L51" t="n">
        <v>0</v>
      </c>
    </row>
    <row r="52">
      <c r="L52" t="n">
        <v>0</v>
      </c>
    </row>
    <row r="53">
      <c r="L53" t="n">
        <v>0</v>
      </c>
    </row>
    <row r="54">
      <c r="L54" t="n">
        <v>0</v>
      </c>
    </row>
    <row r="55">
      <c r="L55" t="n">
        <v>0</v>
      </c>
    </row>
    <row r="56">
      <c r="L56" t="n">
        <v>0</v>
      </c>
    </row>
    <row r="57">
      <c r="L57" t="n">
        <v>0</v>
      </c>
    </row>
    <row r="58">
      <c r="L58" t="n">
        <v>0</v>
      </c>
    </row>
    <row r="59">
      <c r="L59" t="n">
        <v>0</v>
      </c>
    </row>
    <row r="60">
      <c r="L60" t="n">
        <v>0</v>
      </c>
    </row>
    <row r="61">
      <c r="L61" t="n">
        <v>0</v>
      </c>
    </row>
    <row r="62">
      <c r="L62" t="n">
        <v>0</v>
      </c>
    </row>
    <row r="63">
      <c r="L63" t="n">
        <v>0</v>
      </c>
    </row>
    <row r="64">
      <c r="L64" t="n">
        <v>0</v>
      </c>
    </row>
    <row r="65">
      <c r="L65" t="n">
        <v>0</v>
      </c>
    </row>
    <row r="66">
      <c r="L66" t="n">
        <v>0</v>
      </c>
    </row>
    <row r="67">
      <c r="L67" t="n">
        <v>0</v>
      </c>
    </row>
    <row r="68">
      <c r="L68" t="n">
        <v>0</v>
      </c>
    </row>
    <row r="69">
      <c r="L69" t="n">
        <v>0</v>
      </c>
    </row>
    <row r="70">
      <c r="L70" t="n">
        <v>0</v>
      </c>
    </row>
    <row r="71">
      <c r="L71" t="n">
        <v>0</v>
      </c>
    </row>
    <row r="72">
      <c r="L72" t="n">
        <v>0</v>
      </c>
    </row>
    <row r="73">
      <c r="L73" t="n">
        <v>0</v>
      </c>
    </row>
    <row r="74">
      <c r="L74" t="n">
        <v>0</v>
      </c>
    </row>
    <row r="75">
      <c r="L75" t="n">
        <v>0</v>
      </c>
    </row>
    <row r="76">
      <c r="L76" t="n">
        <v>0</v>
      </c>
    </row>
    <row r="77">
      <c r="L77" t="n">
        <v>0</v>
      </c>
    </row>
    <row r="78">
      <c r="L78" t="n">
        <v>0</v>
      </c>
    </row>
    <row r="79">
      <c r="L79" t="n">
        <v>0</v>
      </c>
    </row>
    <row r="80">
      <c r="L80" t="n">
        <v>0</v>
      </c>
    </row>
    <row r="81">
      <c r="L81" t="n">
        <v>0</v>
      </c>
    </row>
    <row r="82">
      <c r="L82" t="n">
        <v>0</v>
      </c>
    </row>
    <row r="83">
      <c r="L83" t="n">
        <v>0</v>
      </c>
    </row>
    <row r="84">
      <c r="L84" t="n">
        <v>0</v>
      </c>
    </row>
    <row r="85">
      <c r="L85" t="n">
        <v>0</v>
      </c>
    </row>
    <row r="86">
      <c r="L86" t="n">
        <v>0</v>
      </c>
    </row>
    <row r="87">
      <c r="L87" t="n">
        <v>0</v>
      </c>
    </row>
    <row r="88">
      <c r="L88" t="n">
        <v>0</v>
      </c>
    </row>
    <row r="89">
      <c r="L89" t="n">
        <v>0</v>
      </c>
    </row>
    <row r="90">
      <c r="L90" t="n">
        <v>0</v>
      </c>
    </row>
    <row r="91">
      <c r="L91" t="n">
        <v>0</v>
      </c>
    </row>
    <row r="92">
      <c r="L92" t="n">
        <v>0</v>
      </c>
    </row>
    <row r="93">
      <c r="L93" t="n">
        <v>0</v>
      </c>
    </row>
    <row r="94">
      <c r="L94" t="n">
        <v>0</v>
      </c>
    </row>
    <row r="95">
      <c r="L95" t="n">
        <v>0</v>
      </c>
    </row>
    <row r="96">
      <c r="L96" t="n">
        <v>0</v>
      </c>
    </row>
    <row r="97">
      <c r="L97" t="n">
        <v>0</v>
      </c>
    </row>
    <row r="98">
      <c r="L98" t="n">
        <v>0</v>
      </c>
    </row>
    <row r="99">
      <c r="L99" t="n">
        <v>0</v>
      </c>
    </row>
    <row r="100">
      <c r="A100" t="inlineStr">
        <is>
          <t>Win</t>
        </is>
      </c>
      <c r="B100" t="inlineStr">
        <is>
          <t>Dragapult Pidgeot Box</t>
        </is>
      </c>
    </row>
  </sheetData>
  <mergeCells count="6">
    <mergeCell ref="G2:H2"/>
    <mergeCell ref="G1:H1"/>
    <mergeCell ref="J2:K2"/>
    <mergeCell ref="L5:N5"/>
    <mergeCell ref="G5:H5"/>
    <mergeCell ref="J1:K1"/>
  </mergeCells>
  <conditionalFormatting sqref="A1:A63">
    <cfRule type="containsText" priority="4" operator="containsText" dxfId="3" text="Tie">
      <formula>NOT(ISERROR(SEARCH("Tie",A1)))</formula>
    </cfRule>
    <cfRule type="containsText" priority="5" operator="containsText" dxfId="2" text="Loss">
      <formula>NOT(ISERROR(SEARCH("Loss",A1)))</formula>
    </cfRule>
    <cfRule type="containsText" priority="6" operator="containsText" dxfId="1" text="Win">
      <formula>NOT(ISERROR(SEARCH("Win",A1)))</formula>
    </cfRule>
  </conditionalFormatting>
  <conditionalFormatting sqref="L1:L63">
    <cfRule type="cellIs" priority="1" operator="equal" dxfId="0">
      <formula>0</formula>
    </cfRule>
  </conditionalFormatting>
  <conditionalFormatting sqref="N6:N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dataValidations count="1">
    <dataValidation sqref="A1:A63" showDropDown="0" showInputMessage="1" showErrorMessage="1" allowBlank="1" type="list">
      <formula1>"Win,Loss,Tie"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Roaring Moon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lava hawk</dc:creator>
  <dcterms:created xmlns:dcterms="http://purl.org/dc/terms/" xmlns:xsi="http://www.w3.org/2001/XMLSchema-instance" xsi:type="dcterms:W3CDTF">2023-04-25T18:32:30Z</dcterms:created>
  <dcterms:modified xmlns:dcterms="http://purl.org/dc/terms/" xmlns:xsi="http://www.w3.org/2001/XMLSchema-instance" xsi:type="dcterms:W3CDTF">2025-04-03T04:28:59Z</dcterms:modified>
  <cp:lastModifiedBy>Keller F Hawkins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0x0101003AAF87927AE07345BEEFBD19962C098D</vt:lpwstr>
  </property>
</Properties>
</file>